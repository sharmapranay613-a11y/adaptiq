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28a6380902fd81/Documents/"/>
    </mc:Choice>
  </mc:AlternateContent>
  <xr:revisionPtr revIDLastSave="243" documentId="8_{821D2831-16BA-4EDF-B622-179A4CD3BC1E}" xr6:coauthVersionLast="47" xr6:coauthVersionMax="47" xr10:uidLastSave="{3ABC4B37-12FA-4CFB-96F7-5DBE5F70A7FA}"/>
  <bookViews>
    <workbookView xWindow="-108" yWindow="-108" windowWidth="23256" windowHeight="12456" activeTab="1" xr2:uid="{823F9921-155B-4FF5-88EE-3799A3925EB4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L4" i="3"/>
  <c r="E6" i="3"/>
  <c r="D5" i="3"/>
  <c r="D6" i="3"/>
  <c r="C6" i="3"/>
  <c r="B6" i="3"/>
</calcChain>
</file>

<file path=xl/sharedStrings.xml><?xml version="1.0" encoding="utf-8"?>
<sst xmlns="http://schemas.openxmlformats.org/spreadsheetml/2006/main" count="123" uniqueCount="96">
  <si>
    <t>January Month Expenses</t>
  </si>
  <si>
    <t xml:space="preserve">Date </t>
  </si>
  <si>
    <t xml:space="preserve">Category </t>
  </si>
  <si>
    <t>Sub-Category</t>
  </si>
  <si>
    <t xml:space="preserve">Price </t>
  </si>
  <si>
    <t>Payment Mode</t>
  </si>
  <si>
    <t xml:space="preserve">Food </t>
  </si>
  <si>
    <t>UPI</t>
  </si>
  <si>
    <t xml:space="preserve">Grocery </t>
  </si>
  <si>
    <t>Fruits and Veg</t>
  </si>
  <si>
    <t>Cash</t>
  </si>
  <si>
    <t>Zomateo</t>
  </si>
  <si>
    <t>Bill</t>
  </si>
  <si>
    <t xml:space="preserve">phone Bill </t>
  </si>
  <si>
    <t>G milk</t>
  </si>
  <si>
    <t>Essentish</t>
  </si>
  <si>
    <t>Shampoo</t>
  </si>
  <si>
    <t>Chocolate</t>
  </si>
  <si>
    <t>Bills</t>
  </si>
  <si>
    <t xml:space="preserve">House Rent </t>
  </si>
  <si>
    <t>Clothes</t>
  </si>
  <si>
    <t>Dress</t>
  </si>
  <si>
    <t>Shopping</t>
  </si>
  <si>
    <t xml:space="preserve">Dress </t>
  </si>
  <si>
    <t xml:space="preserve">Bills </t>
  </si>
  <si>
    <t>Cylinder</t>
  </si>
  <si>
    <t xml:space="preserve">Cash </t>
  </si>
  <si>
    <t>Food Oil</t>
  </si>
  <si>
    <t>Salt and Sugar</t>
  </si>
  <si>
    <t xml:space="preserve">Country Name and Abbravistions </t>
  </si>
  <si>
    <t>Name</t>
  </si>
  <si>
    <t>India</t>
  </si>
  <si>
    <t>Priyanka Sharma</t>
  </si>
  <si>
    <t>Hua Chae</t>
  </si>
  <si>
    <t>Ruben Torres</t>
  </si>
  <si>
    <t>Australa</t>
  </si>
  <si>
    <t>Jan Jenkins</t>
  </si>
  <si>
    <t>Balarus</t>
  </si>
  <si>
    <t>Luke Lal</t>
  </si>
  <si>
    <t xml:space="preserve">Seth Edwards </t>
  </si>
  <si>
    <t xml:space="preserve">Priyanka </t>
  </si>
  <si>
    <t>Hua</t>
  </si>
  <si>
    <t>Ruben</t>
  </si>
  <si>
    <t>Jan</t>
  </si>
  <si>
    <t>Luke</t>
  </si>
  <si>
    <t>Seth</t>
  </si>
  <si>
    <t>Sharma</t>
  </si>
  <si>
    <t>Chae</t>
  </si>
  <si>
    <t>Torres</t>
  </si>
  <si>
    <t>Jenkins</t>
  </si>
  <si>
    <t>Lal</t>
  </si>
  <si>
    <t>Edwards</t>
  </si>
  <si>
    <t>LAST NAME</t>
  </si>
  <si>
    <t xml:space="preserve">FIRST NAME </t>
  </si>
  <si>
    <t>India, MH</t>
  </si>
  <si>
    <t>China, CH</t>
  </si>
  <si>
    <t>Russia, AS</t>
  </si>
  <si>
    <t>Australa,CC</t>
  </si>
  <si>
    <t>Balarus, HU</t>
  </si>
  <si>
    <t>Belize, LA</t>
  </si>
  <si>
    <t xml:space="preserve"> MH</t>
  </si>
  <si>
    <t>China</t>
  </si>
  <si>
    <t xml:space="preserve"> CH</t>
  </si>
  <si>
    <t>Russia</t>
  </si>
  <si>
    <t xml:space="preserve"> AS</t>
  </si>
  <si>
    <t>CC</t>
  </si>
  <si>
    <t xml:space="preserve"> HU</t>
  </si>
  <si>
    <t>Belize</t>
  </si>
  <si>
    <t xml:space="preserve"> LA</t>
  </si>
  <si>
    <t>Abbravistions</t>
  </si>
  <si>
    <t xml:space="preserve">Country Name </t>
  </si>
  <si>
    <t>1st -Jan -2026</t>
  </si>
  <si>
    <t>3nd -Jan -2026</t>
  </si>
  <si>
    <t>2nd -Jan -2026</t>
  </si>
  <si>
    <t>6th -Jan -2026</t>
  </si>
  <si>
    <t xml:space="preserve">5th- Jan -2026 </t>
  </si>
  <si>
    <t>4th-Jan -2026</t>
  </si>
  <si>
    <t xml:space="preserve">7th -Jan -2026 </t>
  </si>
  <si>
    <t xml:space="preserve">8th- Jan -2026 </t>
  </si>
  <si>
    <t>9th -Jan -2026</t>
  </si>
  <si>
    <t xml:space="preserve">10th -Jan -2026 </t>
  </si>
  <si>
    <t xml:space="preserve">11th -Jan -2026 </t>
  </si>
  <si>
    <t>12th -Jan -2026</t>
  </si>
  <si>
    <t>13th-Jan -2026</t>
  </si>
  <si>
    <t>Card</t>
  </si>
  <si>
    <t>3th-Jan -2026</t>
  </si>
  <si>
    <t>Add</t>
  </si>
  <si>
    <t>SUB</t>
  </si>
  <si>
    <t>MILTPL</t>
  </si>
  <si>
    <t>DIV</t>
  </si>
  <si>
    <t xml:space="preserve">Formulas </t>
  </si>
  <si>
    <t xml:space="preserve">Customers's name </t>
  </si>
  <si>
    <t xml:space="preserve">Seats </t>
  </si>
  <si>
    <t>Seat Price</t>
  </si>
  <si>
    <t>Total</t>
  </si>
  <si>
    <t xml:space="preserve">priya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</si>
</sst>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5" formatCode="_(&quot;$&quot;* #,##0.000_);_(&quot;$&quot;* \(#,##0.000\);_(&quot;$&quot;* &quot;-&quot;??_);_(@_)"/>
    <numFmt numFmtId="168" formatCode="[$-409]mmmm\ d\,\ yyyy;@"/>
    <numFmt numFmtId="170" formatCode="mm/dd/yyyy"/>
  </numFmts>
  <fonts count="6" x14ac:knownFonts="1">
    <font>
      <sz val="11"/>
      <color theme="1"/>
      <name val="Aptos Narrow"/>
      <family val="2"/>
      <scheme val="minor"/>
    </font>
    <font>
      <sz val="20"/>
      <color theme="0" tint="-4.9989318521683403E-2"/>
      <name val="Aptos Narrow"/>
      <family val="2"/>
      <scheme val="minor"/>
    </font>
    <font>
      <b/>
      <sz val="20"/>
      <color theme="0" tint="-4.9989318521683403E-2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1" fillId="2" borderId="0" xfId="0" applyFont="1" applyFill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0" xfId="0" applyFont="1" applyAlignment="1">
      <alignment horizontal="center"/>
    </xf>
    <xf numFmtId="44" fontId="0" fillId="0" borderId="0" xfId="0" applyNumberFormat="1"/>
    <xf numFmtId="165" fontId="4" fillId="0" borderId="0" xfId="0" applyNumberFormat="1" applyFont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8" fontId="0" fillId="0" borderId="0" xfId="0" applyNumberFormat="1" applyFont="1" applyAlignment="1">
      <alignment horizontal="center"/>
    </xf>
    <xf numFmtId="170" fontId="4" fillId="0" borderId="0" xfId="0" applyNumberFormat="1" applyFont="1"/>
    <xf numFmtId="170" fontId="5" fillId="0" borderId="2" xfId="0" applyNumberFormat="1" applyFont="1" applyBorder="1" applyAlignment="1">
      <alignment horizontal="center"/>
    </xf>
    <xf numFmtId="170" fontId="0" fillId="0" borderId="0" xfId="0" applyNumberFormat="1"/>
    <xf numFmtId="168" fontId="0" fillId="3" borderId="1" xfId="0" applyNumberFormat="1" applyFont="1" applyFill="1" applyBorder="1" applyAlignment="1">
      <alignment horizontal="center"/>
    </xf>
    <xf numFmtId="168" fontId="0" fillId="0" borderId="1" xfId="0" applyNumberFormat="1" applyFont="1" applyBorder="1" applyAlignment="1">
      <alignment horizontal="center"/>
    </xf>
    <xf numFmtId="0" fontId="0" fillId="4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0" fillId="6" borderId="0" xfId="0" applyFont="1" applyFill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16">
    <dxf>
      <fill>
        <patternFill patternType="solid">
          <fgColor rgb="FF94DCF8"/>
          <bgColor rgb="FF000000"/>
        </patternFill>
      </fill>
    </dxf>
    <dxf>
      <fill>
        <patternFill patternType="solid">
          <fgColor rgb="FFF2CEEF"/>
          <bgColor rgb="FF000000"/>
        </patternFill>
      </fill>
    </dxf>
    <dxf>
      <fill>
        <patternFill patternType="solid">
          <fgColor rgb="FFADADAD"/>
          <bgColor rgb="FF000000"/>
        </patternFill>
      </fill>
    </dxf>
    <dxf>
      <fill>
        <patternFill patternType="solid">
          <fgColor rgb="FF94DCF8"/>
          <bgColor rgb="FF000000"/>
        </patternFill>
      </fill>
    </dxf>
    <dxf>
      <fill>
        <patternFill patternType="solid">
          <fgColor rgb="FFF2CEEF"/>
          <bgColor rgb="FF000000"/>
        </patternFill>
      </fill>
    </dxf>
    <dxf>
      <fill>
        <patternFill patternType="solid">
          <fgColor rgb="FFADADAD"/>
          <bgColor rgb="FF000000"/>
        </patternFill>
      </fill>
    </dxf>
    <dxf>
      <fill>
        <patternFill patternType="solid">
          <fgColor rgb="FFADADAD"/>
          <bgColor rgb="FF000000"/>
        </patternFill>
      </fill>
    </dxf>
    <dxf>
      <fill>
        <patternFill patternType="solid">
          <fgColor rgb="FFADADAD"/>
          <bgColor rgb="FF00000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&quot;$&quot;* #,##0.000_);_(&quot;$&quot;* \(#,##0.000\);_(&quot;$&quot;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[$-409]mmmm\ d\,\ yyyy;@"/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AC9018-3B2D-48A9-9402-EFA693C30820}" name="Table2" displayName="Table2" ref="C3:G24" totalsRowShown="0" headerRowDxfId="15" dataDxfId="14" headerRowBorderDxfId="13">
  <sortState xmlns:xlrd2="http://schemas.microsoft.com/office/spreadsheetml/2017/richdata2" ref="C4:G24">
    <sortCondition ref="C3:C24"/>
  </sortState>
  <tableColumns count="5">
    <tableColumn id="1" xr3:uid="{E1863171-1B94-4070-9FDB-5055EBE4B881}" name="Date " dataDxfId="12"/>
    <tableColumn id="2" xr3:uid="{11A42B40-5CE2-4493-86D3-551AA93B3B9E}" name="Category " dataDxfId="11"/>
    <tableColumn id="3" xr3:uid="{6A63EFF6-0616-42D2-840A-7AA5B57F199E}" name="Sub-Category" dataDxfId="10"/>
    <tableColumn id="4" xr3:uid="{19FF95B5-AC29-4191-940E-77910F3A7B51}" name="Price " dataDxfId="9"/>
    <tableColumn id="5" xr3:uid="{D90C72AC-F674-4571-B8CA-4598D94BC212}" name="Payment Mode" dataDxfId="8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0C7F-7927-418E-9D19-78E13E602780}">
  <dimension ref="B1:L24"/>
  <sheetViews>
    <sheetView workbookViewId="0">
      <selection activeCell="J13" sqref="J13"/>
    </sheetView>
  </sheetViews>
  <sheetFormatPr defaultRowHeight="14.4" x14ac:dyDescent="0.3"/>
  <cols>
    <col min="2" max="2" width="20.5546875" bestFit="1" customWidth="1"/>
    <col min="3" max="3" width="12.109375" style="17" bestFit="1" customWidth="1"/>
    <col min="4" max="4" width="17.33203125" bestFit="1" customWidth="1"/>
    <col min="5" max="5" width="22.6640625" bestFit="1" customWidth="1"/>
    <col min="6" max="6" width="11.21875" style="13" bestFit="1" customWidth="1"/>
    <col min="7" max="7" width="19.88671875" bestFit="1" customWidth="1"/>
    <col min="12" max="12" width="13.6640625" bestFit="1" customWidth="1"/>
  </cols>
  <sheetData>
    <row r="1" spans="2:12" ht="25.8" x14ac:dyDescent="0.5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2" s="4" customFormat="1" ht="18.600000000000001" thickBot="1" x14ac:dyDescent="0.4">
      <c r="C2" s="15"/>
      <c r="F2" s="10"/>
    </row>
    <row r="3" spans="2:12" s="5" customFormat="1" ht="21.6" thickBot="1" x14ac:dyDescent="0.45">
      <c r="C3" s="16" t="s">
        <v>1</v>
      </c>
      <c r="D3" s="6" t="s">
        <v>2</v>
      </c>
      <c r="E3" s="6" t="s">
        <v>3</v>
      </c>
      <c r="F3" s="11" t="s">
        <v>4</v>
      </c>
      <c r="G3" s="7" t="s">
        <v>5</v>
      </c>
    </row>
    <row r="4" spans="2:12" x14ac:dyDescent="0.3">
      <c r="B4">
        <v>1</v>
      </c>
      <c r="C4" s="18" t="s">
        <v>71</v>
      </c>
      <c r="D4" s="8" t="s">
        <v>22</v>
      </c>
      <c r="E4" s="8" t="s">
        <v>23</v>
      </c>
      <c r="F4" s="12">
        <v>1000</v>
      </c>
      <c r="G4" s="22" t="s">
        <v>84</v>
      </c>
      <c r="I4" s="9"/>
      <c r="L4" s="18" t="s">
        <v>71</v>
      </c>
    </row>
    <row r="5" spans="2:12" x14ac:dyDescent="0.3">
      <c r="B5">
        <v>2</v>
      </c>
      <c r="C5" s="18" t="s">
        <v>73</v>
      </c>
      <c r="D5" s="8" t="s">
        <v>24</v>
      </c>
      <c r="E5" s="8" t="s">
        <v>25</v>
      </c>
      <c r="F5" s="12">
        <v>1100</v>
      </c>
      <c r="G5" s="21" t="s">
        <v>26</v>
      </c>
      <c r="L5" s="18" t="s">
        <v>79</v>
      </c>
    </row>
    <row r="6" spans="2:12" x14ac:dyDescent="0.3">
      <c r="B6">
        <v>3</v>
      </c>
      <c r="C6" s="19" t="s">
        <v>85</v>
      </c>
      <c r="D6" s="8" t="s">
        <v>15</v>
      </c>
      <c r="E6" s="8" t="s">
        <v>27</v>
      </c>
      <c r="F6" s="12">
        <v>2600</v>
      </c>
      <c r="G6" s="20" t="s">
        <v>7</v>
      </c>
      <c r="L6" s="19" t="s">
        <v>78</v>
      </c>
    </row>
    <row r="7" spans="2:12" x14ac:dyDescent="0.3">
      <c r="B7">
        <v>4</v>
      </c>
      <c r="C7" s="19" t="s">
        <v>76</v>
      </c>
      <c r="D7" s="8" t="s">
        <v>6</v>
      </c>
      <c r="E7" s="8" t="s">
        <v>28</v>
      </c>
      <c r="F7" s="12">
        <v>100</v>
      </c>
      <c r="G7" s="21" t="s">
        <v>10</v>
      </c>
      <c r="L7" s="18" t="s">
        <v>77</v>
      </c>
    </row>
    <row r="8" spans="2:12" x14ac:dyDescent="0.3">
      <c r="B8">
        <v>5</v>
      </c>
      <c r="C8" s="18" t="s">
        <v>75</v>
      </c>
      <c r="D8" s="8" t="s">
        <v>6</v>
      </c>
      <c r="E8" s="8" t="s">
        <v>11</v>
      </c>
      <c r="F8" s="12">
        <v>300</v>
      </c>
      <c r="G8" s="20" t="s">
        <v>7</v>
      </c>
      <c r="L8" s="19" t="s">
        <v>74</v>
      </c>
    </row>
    <row r="9" spans="2:12" x14ac:dyDescent="0.3">
      <c r="B9">
        <v>6</v>
      </c>
      <c r="C9" s="19" t="s">
        <v>74</v>
      </c>
      <c r="D9" s="8" t="s">
        <v>8</v>
      </c>
      <c r="E9" s="8" t="s">
        <v>9</v>
      </c>
      <c r="F9" s="12">
        <v>400</v>
      </c>
      <c r="G9" s="21" t="s">
        <v>10</v>
      </c>
    </row>
    <row r="10" spans="2:12" x14ac:dyDescent="0.3">
      <c r="B10">
        <v>7</v>
      </c>
      <c r="C10" s="18" t="s">
        <v>77</v>
      </c>
      <c r="D10" s="8" t="s">
        <v>12</v>
      </c>
      <c r="E10" s="8" t="s">
        <v>13</v>
      </c>
      <c r="F10" s="12">
        <v>800</v>
      </c>
      <c r="G10" s="20" t="s">
        <v>7</v>
      </c>
      <c r="L10" s="19" t="s">
        <v>76</v>
      </c>
    </row>
    <row r="11" spans="2:12" x14ac:dyDescent="0.3">
      <c r="B11">
        <v>8</v>
      </c>
      <c r="C11" s="19" t="s">
        <v>78</v>
      </c>
      <c r="D11" s="8" t="s">
        <v>8</v>
      </c>
      <c r="E11" s="8" t="s">
        <v>14</v>
      </c>
      <c r="F11" s="12">
        <v>30</v>
      </c>
      <c r="G11" s="20" t="s">
        <v>7</v>
      </c>
      <c r="L11" s="19" t="s">
        <v>72</v>
      </c>
    </row>
    <row r="12" spans="2:12" x14ac:dyDescent="0.3">
      <c r="B12">
        <v>9</v>
      </c>
      <c r="C12" s="18" t="s">
        <v>79</v>
      </c>
      <c r="D12" s="8" t="s">
        <v>8</v>
      </c>
      <c r="E12" s="8" t="s">
        <v>8</v>
      </c>
      <c r="F12" s="12">
        <v>2000</v>
      </c>
      <c r="G12" s="21" t="s">
        <v>10</v>
      </c>
      <c r="L12" s="18" t="s">
        <v>73</v>
      </c>
    </row>
    <row r="13" spans="2:12" x14ac:dyDescent="0.3">
      <c r="B13">
        <v>10</v>
      </c>
      <c r="C13" s="19" t="s">
        <v>80</v>
      </c>
      <c r="D13" s="8" t="s">
        <v>15</v>
      </c>
      <c r="E13" s="8" t="s">
        <v>16</v>
      </c>
      <c r="F13" s="12">
        <v>780</v>
      </c>
      <c r="G13" s="21" t="s">
        <v>10</v>
      </c>
      <c r="L13" s="18" t="s">
        <v>83</v>
      </c>
    </row>
    <row r="14" spans="2:12" x14ac:dyDescent="0.3">
      <c r="B14">
        <v>11</v>
      </c>
      <c r="C14" s="18" t="s">
        <v>81</v>
      </c>
      <c r="D14" s="8" t="s">
        <v>6</v>
      </c>
      <c r="E14" s="8" t="s">
        <v>17</v>
      </c>
      <c r="F14" s="12">
        <v>400</v>
      </c>
      <c r="G14" s="20" t="s">
        <v>7</v>
      </c>
      <c r="K14" s="9"/>
      <c r="L14" s="19" t="s">
        <v>82</v>
      </c>
    </row>
    <row r="15" spans="2:12" x14ac:dyDescent="0.3">
      <c r="B15">
        <v>12</v>
      </c>
      <c r="C15" s="19" t="s">
        <v>82</v>
      </c>
      <c r="D15" s="8" t="s">
        <v>18</v>
      </c>
      <c r="E15" s="8" t="s">
        <v>19</v>
      </c>
      <c r="F15" s="12">
        <v>1500</v>
      </c>
      <c r="G15" s="21" t="s">
        <v>10</v>
      </c>
      <c r="L15" s="18" t="s">
        <v>81</v>
      </c>
    </row>
    <row r="16" spans="2:12" x14ac:dyDescent="0.3">
      <c r="B16">
        <v>13</v>
      </c>
      <c r="C16" s="18" t="s">
        <v>83</v>
      </c>
      <c r="D16" s="8" t="s">
        <v>20</v>
      </c>
      <c r="E16" s="8" t="s">
        <v>21</v>
      </c>
      <c r="F16" s="12">
        <v>2000</v>
      </c>
      <c r="G16" s="20" t="s">
        <v>7</v>
      </c>
      <c r="L16" s="19" t="s">
        <v>80</v>
      </c>
    </row>
    <row r="17" spans="3:7" x14ac:dyDescent="0.3">
      <c r="C17" s="14"/>
      <c r="D17" s="8"/>
      <c r="E17" s="8"/>
      <c r="F17" s="12"/>
      <c r="G17" s="8"/>
    </row>
    <row r="18" spans="3:7" x14ac:dyDescent="0.3">
      <c r="C18" s="14"/>
      <c r="D18" s="8"/>
      <c r="E18" s="8"/>
      <c r="F18" s="12"/>
      <c r="G18" s="8"/>
    </row>
    <row r="19" spans="3:7" x14ac:dyDescent="0.3">
      <c r="C19" s="14"/>
      <c r="D19" s="8"/>
      <c r="E19" s="8"/>
      <c r="F19" s="12"/>
      <c r="G19" s="8"/>
    </row>
    <row r="20" spans="3:7" x14ac:dyDescent="0.3">
      <c r="C20" s="14"/>
      <c r="D20" s="8"/>
      <c r="E20" s="8"/>
      <c r="F20" s="12"/>
      <c r="G20" s="8"/>
    </row>
    <row r="21" spans="3:7" x14ac:dyDescent="0.3">
      <c r="C21" s="14"/>
      <c r="D21" s="8"/>
      <c r="E21" s="8"/>
      <c r="F21" s="12"/>
      <c r="G21" s="8"/>
    </row>
    <row r="22" spans="3:7" x14ac:dyDescent="0.3">
      <c r="C22" s="14"/>
      <c r="D22" s="8"/>
      <c r="E22" s="8"/>
      <c r="F22" s="12"/>
      <c r="G22" s="8"/>
    </row>
    <row r="23" spans="3:7" x14ac:dyDescent="0.3">
      <c r="C23" s="14"/>
      <c r="D23" s="8"/>
      <c r="E23" s="8"/>
      <c r="F23" s="12"/>
      <c r="G23" s="8"/>
    </row>
    <row r="24" spans="3:7" x14ac:dyDescent="0.3">
      <c r="C24" s="14"/>
      <c r="D24" s="8"/>
      <c r="E24" s="8"/>
      <c r="F24" s="12"/>
      <c r="G24" s="8"/>
    </row>
  </sheetData>
  <sortState xmlns:xlrd2="http://schemas.microsoft.com/office/spreadsheetml/2017/richdata2" ref="L5:L16">
    <sortCondition descending="1" ref="L4:L16"/>
  </sortState>
  <mergeCells count="1">
    <mergeCell ref="B1:J1"/>
  </mergeCells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1F41-EABF-4D99-99C1-E0485AF629EF}">
  <dimension ref="B1:G7"/>
  <sheetViews>
    <sheetView tabSelected="1" workbookViewId="0">
      <selection activeCell="B21" sqref="B21"/>
    </sheetView>
  </sheetViews>
  <sheetFormatPr defaultRowHeight="14.4" x14ac:dyDescent="0.3"/>
  <cols>
    <col min="2" max="2" width="52.44140625" bestFit="1" customWidth="1"/>
    <col min="3" max="3" width="14.5546875" bestFit="1" customWidth="1"/>
    <col min="4" max="4" width="20" bestFit="1" customWidth="1"/>
    <col min="5" max="5" width="18.33203125" bestFit="1" customWidth="1"/>
    <col min="6" max="6" width="27.6640625" bestFit="1" customWidth="1"/>
    <col min="7" max="7" width="21.77734375" bestFit="1" customWidth="1"/>
  </cols>
  <sheetData>
    <row r="1" spans="2:7" ht="25.8" x14ac:dyDescent="0.5">
      <c r="B1" s="2" t="s">
        <v>29</v>
      </c>
      <c r="C1" s="2" t="s">
        <v>30</v>
      </c>
      <c r="D1" s="3" t="s">
        <v>53</v>
      </c>
      <c r="E1" s="3" t="s">
        <v>52</v>
      </c>
      <c r="F1" s="3" t="s">
        <v>70</v>
      </c>
      <c r="G1" s="3" t="s">
        <v>69</v>
      </c>
    </row>
    <row r="2" spans="2:7" x14ac:dyDescent="0.3">
      <c r="B2" t="s">
        <v>54</v>
      </c>
      <c r="C2" t="s">
        <v>32</v>
      </c>
      <c r="D2" t="s">
        <v>40</v>
      </c>
      <c r="E2" t="s">
        <v>46</v>
      </c>
      <c r="F2" t="s">
        <v>31</v>
      </c>
      <c r="G2" t="s">
        <v>60</v>
      </c>
    </row>
    <row r="3" spans="2:7" x14ac:dyDescent="0.3">
      <c r="B3" t="s">
        <v>55</v>
      </c>
      <c r="C3" t="s">
        <v>33</v>
      </c>
      <c r="D3" t="s">
        <v>41</v>
      </c>
      <c r="E3" t="s">
        <v>47</v>
      </c>
      <c r="F3" t="s">
        <v>61</v>
      </c>
      <c r="G3" t="s">
        <v>62</v>
      </c>
    </row>
    <row r="4" spans="2:7" x14ac:dyDescent="0.3">
      <c r="B4" t="s">
        <v>56</v>
      </c>
      <c r="C4" t="s">
        <v>34</v>
      </c>
      <c r="D4" t="s">
        <v>42</v>
      </c>
      <c r="E4" t="s">
        <v>48</v>
      </c>
      <c r="F4" t="s">
        <v>63</v>
      </c>
      <c r="G4" t="s">
        <v>64</v>
      </c>
    </row>
    <row r="5" spans="2:7" x14ac:dyDescent="0.3">
      <c r="B5" t="s">
        <v>57</v>
      </c>
      <c r="C5" t="s">
        <v>36</v>
      </c>
      <c r="D5" t="s">
        <v>43</v>
      </c>
      <c r="E5" t="s">
        <v>49</v>
      </c>
      <c r="F5" t="s">
        <v>35</v>
      </c>
      <c r="G5" t="s">
        <v>65</v>
      </c>
    </row>
    <row r="6" spans="2:7" x14ac:dyDescent="0.3">
      <c r="B6" t="s">
        <v>58</v>
      </c>
      <c r="C6" t="s">
        <v>38</v>
      </c>
      <c r="D6" t="s">
        <v>44</v>
      </c>
      <c r="E6" t="s">
        <v>50</v>
      </c>
      <c r="F6" t="s">
        <v>37</v>
      </c>
      <c r="G6" t="s">
        <v>66</v>
      </c>
    </row>
    <row r="7" spans="2:7" x14ac:dyDescent="0.3">
      <c r="B7" t="s">
        <v>59</v>
      </c>
      <c r="C7" t="s">
        <v>39</v>
      </c>
      <c r="D7" t="s">
        <v>45</v>
      </c>
      <c r="E7" t="s">
        <v>51</v>
      </c>
      <c r="F7" t="s">
        <v>67</v>
      </c>
      <c r="G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224D-7906-4609-B2A3-4949A5840E98}">
  <dimension ref="A2:L6"/>
  <sheetViews>
    <sheetView workbookViewId="0">
      <selection activeCell="C10" sqref="C10"/>
    </sheetView>
  </sheetViews>
  <sheetFormatPr defaultRowHeight="14.4" x14ac:dyDescent="0.3"/>
  <sheetData>
    <row r="2" spans="1:12" x14ac:dyDescent="0.3">
      <c r="B2" t="s">
        <v>86</v>
      </c>
      <c r="C2" t="s">
        <v>87</v>
      </c>
      <c r="D2" t="s">
        <v>88</v>
      </c>
      <c r="E2" t="s">
        <v>89</v>
      </c>
    </row>
    <row r="3" spans="1:12" x14ac:dyDescent="0.3">
      <c r="B3">
        <v>200</v>
      </c>
      <c r="C3">
        <v>300</v>
      </c>
      <c r="D3">
        <v>40</v>
      </c>
      <c r="E3">
        <v>14</v>
      </c>
      <c r="H3" t="s">
        <v>91</v>
      </c>
      <c r="I3" t="s">
        <v>6</v>
      </c>
      <c r="J3" t="s">
        <v>92</v>
      </c>
      <c r="K3" t="s">
        <v>93</v>
      </c>
      <c r="L3" t="s">
        <v>94</v>
      </c>
    </row>
    <row r="4" spans="1:12" x14ac:dyDescent="0.3">
      <c r="B4">
        <v>150</v>
      </c>
      <c r="C4">
        <v>150</v>
      </c>
      <c r="D4">
        <v>20</v>
      </c>
      <c r="E4">
        <v>4</v>
      </c>
      <c r="H4" t="s">
        <v>95</v>
      </c>
      <c r="I4">
        <v>300</v>
      </c>
      <c r="J4">
        <v>4</v>
      </c>
      <c r="K4">
        <v>500</v>
      </c>
      <c r="L4">
        <f>(K4*J4)+I4</f>
        <v>2300</v>
      </c>
    </row>
    <row r="5" spans="1:12" x14ac:dyDescent="0.3">
      <c r="A5" t="s">
        <v>90</v>
      </c>
      <c r="B5" s="26">
        <f>SUM(B3,B4)</f>
        <v>350</v>
      </c>
      <c r="C5" s="27"/>
      <c r="D5" s="27">
        <f>PRODUCT(D3,D4)</f>
        <v>800</v>
      </c>
      <c r="E5" s="28"/>
    </row>
    <row r="6" spans="1:12" ht="15" thickBot="1" x14ac:dyDescent="0.35">
      <c r="B6" s="23">
        <f>B3+B4</f>
        <v>350</v>
      </c>
      <c r="C6" s="24">
        <f>C3-C4</f>
        <v>150</v>
      </c>
      <c r="D6" s="24">
        <f>D3*D4</f>
        <v>800</v>
      </c>
      <c r="E6" s="25">
        <f>E3/E4</f>
        <v>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9A3B1-2D64-48FF-ADE3-4E1EBE217476}">
  <dimension ref="A1"/>
  <sheetViews>
    <sheetView workbookViewId="0">
      <selection activeCell="D17" sqref="D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sharmapranay613@gmail.com</dc:creator>
  <cp:lastModifiedBy>sharmapranay613@gmail.com</cp:lastModifiedBy>
  <dcterms:created xsi:type="dcterms:W3CDTF">2026-04-29T13:47:19Z</dcterms:created>
  <dcterms:modified xsi:type="dcterms:W3CDTF">2026-04-29T15:27:44Z</dcterms:modified>
</cp:coreProperties>
</file>